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MA\06 Implementierungen\git_Projekte\AVEDAS\Scripts\Artefact_3\Resources\"/>
    </mc:Choice>
  </mc:AlternateContent>
  <xr:revisionPtr revIDLastSave="0" documentId="13_ncr:1_{8EF80E79-BA91-4F0D-9FA3-15AD2A3EBE6F}" xr6:coauthVersionLast="47" xr6:coauthVersionMax="47" xr10:uidLastSave="{00000000-0000-0000-0000-000000000000}"/>
  <bookViews>
    <workbookView xWindow="-120" yWindow="-120" windowWidth="29040" windowHeight="15720" xr2:uid="{29322D1E-7CB7-4759-A865-F9BA714AFD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E2" i="1"/>
  <c r="D2" i="1"/>
</calcChain>
</file>

<file path=xl/sharedStrings.xml><?xml version="1.0" encoding="utf-8"?>
<sst xmlns="http://schemas.openxmlformats.org/spreadsheetml/2006/main" count="25" uniqueCount="25">
  <si>
    <t>Simulation_Parameter_Name</t>
  </si>
  <si>
    <t>Pipe_Input_Filter.r</t>
  </si>
  <si>
    <t>Pipe_Input_Filter.l</t>
  </si>
  <si>
    <t>Filter.Kvs</t>
  </si>
  <si>
    <t>filter_clogging.height</t>
  </si>
  <si>
    <t>Pipe_Filter_Heat_Exchanger.r</t>
  </si>
  <si>
    <t>Pipe_Filter_Heat_Exchanger.l</t>
  </si>
  <si>
    <t>Heat_Exchanger.A</t>
  </si>
  <si>
    <t>Heat_Exchanger.k_NTU</t>
  </si>
  <si>
    <t>Pipe_Heat_Exchanger_Choke_Valve.r</t>
  </si>
  <si>
    <t>Pipe_Heat_Exchanger_Choke_Valve.l</t>
  </si>
  <si>
    <t>Choke_Valve.Kvs</t>
  </si>
  <si>
    <t>Heat_Loss_Choke_Valve.alpha</t>
  </si>
  <si>
    <t>corrective_factor.k</t>
  </si>
  <si>
    <t>Pipe_Choke_Valve_Output.r</t>
  </si>
  <si>
    <t>Pipe_Choke_Valve_Output.l</t>
  </si>
  <si>
    <t>ThreeWayValve.p_ref</t>
  </si>
  <si>
    <t>Pipe_Water_pre_Heat_Exchanger.r</t>
  </si>
  <si>
    <t>Pipe_Water_pre_Heat_Exchanger.l</t>
  </si>
  <si>
    <t>Pipe_Water_post_Heat_Exchanger.r</t>
  </si>
  <si>
    <t>Pipe_Water_post_Heat_Exchanger.l</t>
  </si>
  <si>
    <t>Value</t>
  </si>
  <si>
    <t>Tolerance</t>
  </si>
  <si>
    <t>Upper_Bound</t>
  </si>
  <si>
    <t>Lower_Bound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</si>
</sst>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8636-B47B-4211-9E38-0AC257D2BF09}">
  <dimension ref="A1:E21"/>
  <sheetViews>
    <sheetView tabSelected="1" workbookViewId="0">
      <selection activeCell="N14" sqref="N14"/>
    </sheetView>
  </sheetViews>
  <sheetFormatPr baseColWidth="10" defaultRowHeight="15" x14ac:dyDescent="0.25"/>
  <cols>
    <col min="1" max="1" width="33.28515625" bestFit="1" customWidth="1"/>
  </cols>
  <sheetData>
    <row r="1" spans="1: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1</v>
      </c>
      <c r="B2">
        <v>5.1999999999999998E-3</v>
      </c>
      <c r="C2">
        <v>0.3</v>
      </c>
      <c r="D2">
        <f>B2*(1+C2)</f>
        <v>6.7599999999999995E-3</v>
      </c>
      <c r="E2">
        <f>B2*(1-C2)</f>
        <v>3.6399999999999996E-3</v>
      </c>
    </row>
    <row r="3" spans="1:5" x14ac:dyDescent="0.25">
      <c r="A3" t="s">
        <v>2</v>
      </c>
      <c r="B3">
        <v>0.1</v>
      </c>
      <c r="C3">
        <v>0.3</v>
      </c>
      <c r="D3">
        <f t="shared" ref="D3:D21" si="0">B3*(1+C3)</f>
        <v>0.13</v>
      </c>
      <c r="E3">
        <f t="shared" ref="E3:E21" si="1">B3*(1-C3)</f>
        <v>6.9999999999999993E-2</v>
      </c>
    </row>
    <row r="4" spans="1:5" x14ac:dyDescent="0.25">
      <c r="A4" t="s">
        <v>3</v>
      </c>
      <c r="B4">
        <v>1000</v>
      </c>
      <c r="C4">
        <v>0.3</v>
      </c>
      <c r="D4">
        <f t="shared" si="0"/>
        <v>1300</v>
      </c>
      <c r="E4">
        <f t="shared" si="1"/>
        <v>700</v>
      </c>
    </row>
    <row r="5" spans="1:5" x14ac:dyDescent="0.25">
      <c r="A5" t="s">
        <v>4</v>
      </c>
      <c r="B5">
        <v>0</v>
      </c>
      <c r="C5">
        <v>0.3</v>
      </c>
      <c r="D5">
        <f t="shared" si="0"/>
        <v>0</v>
      </c>
      <c r="E5">
        <f t="shared" si="1"/>
        <v>0</v>
      </c>
    </row>
    <row r="6" spans="1:5" x14ac:dyDescent="0.25">
      <c r="A6" t="s">
        <v>5</v>
      </c>
      <c r="B6">
        <v>5.1999999999999998E-3</v>
      </c>
      <c r="C6">
        <v>0.3</v>
      </c>
      <c r="D6">
        <f t="shared" si="0"/>
        <v>6.7599999999999995E-3</v>
      </c>
      <c r="E6">
        <f t="shared" si="1"/>
        <v>3.6399999999999996E-3</v>
      </c>
    </row>
    <row r="7" spans="1:5" x14ac:dyDescent="0.25">
      <c r="A7" t="s">
        <v>6</v>
      </c>
      <c r="B7">
        <v>1.27</v>
      </c>
      <c r="C7">
        <v>0.3</v>
      </c>
      <c r="D7">
        <f t="shared" si="0"/>
        <v>1.651</v>
      </c>
      <c r="E7">
        <f t="shared" si="1"/>
        <v>0.8889999999999999</v>
      </c>
    </row>
    <row r="8" spans="1:5" x14ac:dyDescent="0.25">
      <c r="A8" t="s">
        <v>7</v>
      </c>
      <c r="B8">
        <v>5</v>
      </c>
      <c r="C8">
        <v>0.3</v>
      </c>
      <c r="D8">
        <f t="shared" si="0"/>
        <v>6.5</v>
      </c>
      <c r="E8">
        <f t="shared" si="1"/>
        <v>3.5</v>
      </c>
    </row>
    <row r="9" spans="1:5" x14ac:dyDescent="0.25">
      <c r="A9" t="s">
        <v>8</v>
      </c>
      <c r="B9">
        <v>100</v>
      </c>
      <c r="C9">
        <v>0.3</v>
      </c>
      <c r="D9">
        <f t="shared" si="0"/>
        <v>130</v>
      </c>
      <c r="E9">
        <f t="shared" si="1"/>
        <v>70</v>
      </c>
    </row>
    <row r="10" spans="1:5" x14ac:dyDescent="0.25">
      <c r="A10" t="s">
        <v>9</v>
      </c>
      <c r="B10">
        <v>5.1999999999999998E-3</v>
      </c>
      <c r="C10">
        <v>0.3</v>
      </c>
      <c r="D10">
        <f t="shared" si="0"/>
        <v>6.7599999999999995E-3</v>
      </c>
      <c r="E10">
        <f t="shared" si="1"/>
        <v>3.6399999999999996E-3</v>
      </c>
    </row>
    <row r="11" spans="1:5" x14ac:dyDescent="0.25">
      <c r="A11" t="s">
        <v>10</v>
      </c>
      <c r="B11">
        <v>2.048</v>
      </c>
      <c r="C11">
        <v>0.3</v>
      </c>
      <c r="D11">
        <f t="shared" si="0"/>
        <v>2.6624000000000003</v>
      </c>
      <c r="E11">
        <f t="shared" si="1"/>
        <v>1.4336</v>
      </c>
    </row>
    <row r="12" spans="1:5" x14ac:dyDescent="0.25">
      <c r="A12" t="s">
        <v>11</v>
      </c>
      <c r="B12">
        <v>40</v>
      </c>
      <c r="C12">
        <v>0.3</v>
      </c>
      <c r="D12">
        <f t="shared" si="0"/>
        <v>52</v>
      </c>
      <c r="E12">
        <f t="shared" si="1"/>
        <v>28</v>
      </c>
    </row>
    <row r="13" spans="1:5" x14ac:dyDescent="0.25">
      <c r="A13" t="s">
        <v>12</v>
      </c>
      <c r="B13">
        <v>80</v>
      </c>
      <c r="C13">
        <v>0.3</v>
      </c>
      <c r="D13">
        <f t="shared" si="0"/>
        <v>104</v>
      </c>
      <c r="E13">
        <f t="shared" si="1"/>
        <v>56</v>
      </c>
    </row>
    <row r="14" spans="1:5" x14ac:dyDescent="0.25">
      <c r="A14" t="s">
        <v>13</v>
      </c>
      <c r="B14">
        <v>-25</v>
      </c>
      <c r="C14">
        <v>0.3</v>
      </c>
      <c r="D14">
        <f t="shared" si="0"/>
        <v>-32.5</v>
      </c>
      <c r="E14">
        <f t="shared" si="1"/>
        <v>-17.5</v>
      </c>
    </row>
    <row r="15" spans="1:5" x14ac:dyDescent="0.25">
      <c r="A15" t="s">
        <v>14</v>
      </c>
      <c r="B15">
        <v>0.05</v>
      </c>
      <c r="C15">
        <v>0.3</v>
      </c>
      <c r="D15">
        <f t="shared" si="0"/>
        <v>6.5000000000000002E-2</v>
      </c>
      <c r="E15">
        <f t="shared" si="1"/>
        <v>3.4999999999999996E-2</v>
      </c>
    </row>
    <row r="16" spans="1:5" x14ac:dyDescent="0.25">
      <c r="A16" t="s">
        <v>15</v>
      </c>
      <c r="B16">
        <v>1.673</v>
      </c>
      <c r="C16">
        <v>0.3</v>
      </c>
      <c r="D16">
        <f t="shared" si="0"/>
        <v>2.1749000000000001</v>
      </c>
      <c r="E16">
        <f t="shared" si="1"/>
        <v>1.1711</v>
      </c>
    </row>
    <row r="17" spans="1:5" x14ac:dyDescent="0.25">
      <c r="A17" t="s">
        <v>16</v>
      </c>
      <c r="B17">
        <v>1</v>
      </c>
      <c r="C17">
        <v>0.3</v>
      </c>
      <c r="D17">
        <f t="shared" si="0"/>
        <v>1.3</v>
      </c>
      <c r="E17">
        <f t="shared" si="1"/>
        <v>0.7</v>
      </c>
    </row>
    <row r="18" spans="1:5" x14ac:dyDescent="0.25">
      <c r="A18" t="s">
        <v>17</v>
      </c>
      <c r="B18">
        <v>0.01</v>
      </c>
      <c r="C18">
        <v>0.3</v>
      </c>
      <c r="D18">
        <f t="shared" si="0"/>
        <v>1.3000000000000001E-2</v>
      </c>
      <c r="E18">
        <f t="shared" si="1"/>
        <v>6.9999999999999993E-3</v>
      </c>
    </row>
    <row r="19" spans="1:5" x14ac:dyDescent="0.25">
      <c r="A19" t="s">
        <v>18</v>
      </c>
      <c r="B19">
        <v>1.37</v>
      </c>
      <c r="C19">
        <v>0.3</v>
      </c>
      <c r="D19">
        <f t="shared" si="0"/>
        <v>1.7810000000000001</v>
      </c>
      <c r="E19">
        <f t="shared" si="1"/>
        <v>0.95899999999999996</v>
      </c>
    </row>
    <row r="20" spans="1:5" x14ac:dyDescent="0.25">
      <c r="A20" t="s">
        <v>19</v>
      </c>
      <c r="B20">
        <v>5.1999999999999998E-3</v>
      </c>
      <c r="C20">
        <v>0.3</v>
      </c>
      <c r="D20">
        <f t="shared" si="0"/>
        <v>6.7599999999999995E-3</v>
      </c>
      <c r="E20">
        <f t="shared" si="1"/>
        <v>3.6399999999999996E-3</v>
      </c>
    </row>
    <row r="21" spans="1:5" x14ac:dyDescent="0.25">
      <c r="A21" t="s">
        <v>20</v>
      </c>
      <c r="B21">
        <v>1.37</v>
      </c>
      <c r="C21">
        <v>0.3</v>
      </c>
      <c r="D21">
        <f t="shared" si="0"/>
        <v>1.7810000000000001</v>
      </c>
      <c r="E21">
        <f t="shared" si="1"/>
        <v>0.95899999999999996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Ramonat</dc:creator>
  <cp:lastModifiedBy>Malte Ramonat</cp:lastModifiedBy>
  <dcterms:created xsi:type="dcterms:W3CDTF">2025-05-20T13:42:10Z</dcterms:created>
  <dcterms:modified xsi:type="dcterms:W3CDTF">2025-05-20T13:54:58Z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2025-05-20T13:46:44Z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cf6770b1-68e8-4c95-99e0-98cc9f54f368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