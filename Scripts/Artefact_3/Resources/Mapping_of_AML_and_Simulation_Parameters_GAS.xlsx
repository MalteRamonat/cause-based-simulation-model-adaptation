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MA\06 Implementierungen\git_Projekte\AVEDAS\Scripts\Artefact_3\Resources\"/>
    </mc:Choice>
  </mc:AlternateContent>
  <xr:revisionPtr revIDLastSave="0" documentId="13_ncr:1_{9D1DE73D-BC31-412B-B744-49395CE7D7D1}" xr6:coauthVersionLast="47" xr6:coauthVersionMax="47" xr10:uidLastSave="{00000000-0000-0000-0000-000000000000}"/>
  <bookViews>
    <workbookView xWindow="-28920" yWindow="-120" windowWidth="29040" windowHeight="15720" xr2:uid="{DD1B1682-9D29-40D8-866C-F47A9D72A825}"/>
  </bookViews>
  <sheets>
    <sheet name="Mapping_Sensor_Simul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11" i="1"/>
  <c r="D12" i="1"/>
  <c r="D13" i="1"/>
  <c r="C11" i="1"/>
  <c r="C12" i="1"/>
  <c r="C13" i="1"/>
  <c r="C10" i="1"/>
  <c r="D3" i="1"/>
  <c r="D4" i="1"/>
  <c r="D5" i="1"/>
  <c r="D6" i="1"/>
  <c r="D7" i="1"/>
  <c r="D8" i="1"/>
  <c r="D9" i="1"/>
  <c r="D14" i="1"/>
  <c r="D15" i="1"/>
  <c r="D16" i="1"/>
  <c r="D17" i="1"/>
  <c r="D18" i="1"/>
  <c r="D19" i="1"/>
  <c r="D20" i="1"/>
  <c r="D21" i="1"/>
  <c r="D22" i="1"/>
  <c r="D23" i="1"/>
  <c r="D24" i="1"/>
  <c r="D25" i="1"/>
  <c r="D2" i="1"/>
  <c r="C21" i="1"/>
  <c r="C22" i="1"/>
  <c r="C23" i="1"/>
  <c r="C24" i="1"/>
  <c r="C25" i="1"/>
  <c r="C4" i="1"/>
  <c r="C5" i="1"/>
  <c r="C6" i="1"/>
  <c r="C7" i="1"/>
  <c r="C8" i="1"/>
  <c r="C9" i="1"/>
  <c r="C14" i="1"/>
  <c r="C15" i="1"/>
  <c r="C16" i="1"/>
  <c r="C3" i="1"/>
  <c r="C2" i="1"/>
  <c r="C18" i="1"/>
  <c r="C19" i="1"/>
  <c r="C20" i="1"/>
  <c r="C17" i="1"/>
</calcChain>
</file>

<file path=xl/sharedStrings.xml><?xml version="1.0" encoding="utf-8"?>
<sst xmlns="http://schemas.openxmlformats.org/spreadsheetml/2006/main" count="127" uniqueCount="46">
  <si>
    <t>AML_Name</t>
  </si>
  <si>
    <t>Simulation_Parameter_Name</t>
  </si>
  <si>
    <t>AML_Parameter_Name</t>
  </si>
  <si>
    <t>.height</t>
  </si>
  <si>
    <t>_PDropNom</t>
  </si>
  <si>
    <t>_Length</t>
  </si>
  <si>
    <t>_Diameter</t>
  </si>
  <si>
    <t>.k</t>
  </si>
  <si>
    <t>generic_pipe_length</t>
  </si>
  <si>
    <t>generic_pipe_diameter</t>
  </si>
  <si>
    <t>sim_component_prefix</t>
  </si>
  <si>
    <t>sim_component_parameter_suffix</t>
  </si>
  <si>
    <t>AML_Suffix</t>
  </si>
  <si>
    <t>Grouped_Variable_Name</t>
  </si>
  <si>
    <t>Pipe_Choke_Valve_Output</t>
  </si>
  <si>
    <t>_Alpha</t>
  </si>
  <si>
    <t>_HLoss</t>
  </si>
  <si>
    <t>Pipe_Input_Filter</t>
  </si>
  <si>
    <t>Filter</t>
  </si>
  <si>
    <t>_Clogging</t>
  </si>
  <si>
    <t>Pipe_Filter_Heat_Exchanger</t>
  </si>
  <si>
    <t>Heat_Exchanger</t>
  </si>
  <si>
    <t>_Surface</t>
  </si>
  <si>
    <t>_HeatTansfer</t>
  </si>
  <si>
    <t>Pipe_Heat_Exchanger_Choke_Valve</t>
  </si>
  <si>
    <t>Choke_Valve</t>
  </si>
  <si>
    <t>ThreeWayValve</t>
  </si>
  <si>
    <t>Pipe_Water_pre_Heat_Exchanger</t>
  </si>
  <si>
    <t>Pipe_Water_post_Heat_Exchanger</t>
  </si>
  <si>
    <t>.r</t>
  </si>
  <si>
    <t>.l</t>
  </si>
  <si>
    <t>.Kvs</t>
  </si>
  <si>
    <t>filter_clogging</t>
  </si>
  <si>
    <t>.A</t>
  </si>
  <si>
    <t>.k_NTU</t>
  </si>
  <si>
    <t>Heat_Loss_Choke_Valve</t>
  </si>
  <si>
    <t>.alpha</t>
  </si>
  <si>
    <t>corrective_factor</t>
  </si>
  <si>
    <t>.p_ref</t>
  </si>
  <si>
    <t>None</t>
  </si>
  <si>
    <t xml:space="preserve"> Heat_Exchanger_Primary_Side</t>
  </si>
  <si>
    <t>_Primary_Htransfer</t>
  </si>
  <si>
    <t>_Primary_CA</t>
  </si>
  <si>
    <t>Heat_Exchanger_Secondary_Side</t>
  </si>
  <si>
    <t>_Secondary_Csurface</t>
  </si>
  <si>
    <t>_Secondary_HeatT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</si>
</sst>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F29FB-6C90-4EB7-A7CD-116DC76367C5}">
  <dimension ref="A1:G91"/>
  <sheetViews>
    <sheetView tabSelected="1" workbookViewId="0">
      <selection activeCell="D30" sqref="D30"/>
    </sheetView>
  </sheetViews>
  <sheetFormatPr baseColWidth="10" defaultRowHeight="15" x14ac:dyDescent="0.25"/>
  <cols>
    <col min="1" max="1" width="33.28515625" bestFit="1" customWidth="1"/>
    <col min="2" max="2" width="24" customWidth="1"/>
    <col min="3" max="3" width="42.85546875" bestFit="1" customWidth="1"/>
    <col min="4" max="4" width="49.28515625" customWidth="1"/>
    <col min="5" max="5" width="34.85546875" customWidth="1"/>
    <col min="6" max="6" width="18.42578125" customWidth="1"/>
    <col min="7" max="7" width="25" bestFit="1" customWidth="1"/>
  </cols>
  <sheetData>
    <row r="1" spans="1:7" x14ac:dyDescent="0.25">
      <c r="A1" t="s">
        <v>0</v>
      </c>
      <c r="B1" t="s">
        <v>12</v>
      </c>
      <c r="C1" t="s">
        <v>2</v>
      </c>
      <c r="D1" t="s">
        <v>1</v>
      </c>
      <c r="E1" t="s">
        <v>10</v>
      </c>
      <c r="F1" t="s">
        <v>11</v>
      </c>
      <c r="G1" t="s">
        <v>13</v>
      </c>
    </row>
    <row r="2" spans="1:7" x14ac:dyDescent="0.25">
      <c r="A2" t="s">
        <v>17</v>
      </c>
      <c r="B2" t="s">
        <v>6</v>
      </c>
      <c r="C2" t="str">
        <f t="shared" ref="C2:C16" si="0">A2&amp;B2</f>
        <v>Pipe_Input_Filter_Diameter</v>
      </c>
      <c r="D2" t="str">
        <f>E2&amp;F2</f>
        <v>Pipe_Input_Filter.r</v>
      </c>
      <c r="E2" t="s">
        <v>17</v>
      </c>
      <c r="F2" t="s">
        <v>29</v>
      </c>
      <c r="G2" t="s">
        <v>9</v>
      </c>
    </row>
    <row r="3" spans="1:7" x14ac:dyDescent="0.25">
      <c r="A3" t="s">
        <v>17</v>
      </c>
      <c r="B3" t="s">
        <v>5</v>
      </c>
      <c r="C3" t="str">
        <f t="shared" si="0"/>
        <v>Pipe_Input_Filter_Length</v>
      </c>
      <c r="D3" t="str">
        <f t="shared" ref="D3:D25" si="1">E3&amp;F3</f>
        <v>Pipe_Input_Filter.l</v>
      </c>
      <c r="E3" t="s">
        <v>17</v>
      </c>
      <c r="F3" t="s">
        <v>30</v>
      </c>
      <c r="G3" t="s">
        <v>8</v>
      </c>
    </row>
    <row r="4" spans="1:7" x14ac:dyDescent="0.25">
      <c r="A4" t="s">
        <v>18</v>
      </c>
      <c r="B4" t="s">
        <v>19</v>
      </c>
      <c r="C4" t="str">
        <f t="shared" si="0"/>
        <v>Filter_Clogging</v>
      </c>
      <c r="D4" t="str">
        <f t="shared" si="1"/>
        <v>Filter.Kvs</v>
      </c>
      <c r="E4" t="s">
        <v>18</v>
      </c>
      <c r="F4" t="s">
        <v>31</v>
      </c>
      <c r="G4" t="s">
        <v>39</v>
      </c>
    </row>
    <row r="5" spans="1:7" x14ac:dyDescent="0.25">
      <c r="A5" t="s">
        <v>18</v>
      </c>
      <c r="B5" t="s">
        <v>4</v>
      </c>
      <c r="C5" t="str">
        <f t="shared" si="0"/>
        <v>Filter_PDropNom</v>
      </c>
      <c r="D5" t="str">
        <f t="shared" si="1"/>
        <v>filter_clogging.height</v>
      </c>
      <c r="E5" t="s">
        <v>32</v>
      </c>
      <c r="F5" t="s">
        <v>3</v>
      </c>
      <c r="G5" t="s">
        <v>39</v>
      </c>
    </row>
    <row r="6" spans="1:7" x14ac:dyDescent="0.25">
      <c r="A6" t="s">
        <v>20</v>
      </c>
      <c r="B6" t="s">
        <v>6</v>
      </c>
      <c r="C6" t="str">
        <f t="shared" si="0"/>
        <v>Pipe_Filter_Heat_Exchanger_Diameter</v>
      </c>
      <c r="D6" t="str">
        <f t="shared" si="1"/>
        <v>Pipe_Filter_Heat_Exchanger.r</v>
      </c>
      <c r="E6" t="s">
        <v>20</v>
      </c>
      <c r="F6" t="s">
        <v>29</v>
      </c>
      <c r="G6" t="s">
        <v>9</v>
      </c>
    </row>
    <row r="7" spans="1:7" x14ac:dyDescent="0.25">
      <c r="A7" t="s">
        <v>20</v>
      </c>
      <c r="B7" t="s">
        <v>5</v>
      </c>
      <c r="C7" t="str">
        <f t="shared" si="0"/>
        <v>Pipe_Filter_Heat_Exchanger_Length</v>
      </c>
      <c r="D7" t="str">
        <f t="shared" si="1"/>
        <v>Pipe_Filter_Heat_Exchanger.l</v>
      </c>
      <c r="E7" t="s">
        <v>20</v>
      </c>
      <c r="F7" t="s">
        <v>30</v>
      </c>
      <c r="G7" t="s">
        <v>8</v>
      </c>
    </row>
    <row r="8" spans="1:7" x14ac:dyDescent="0.25">
      <c r="A8" t="s">
        <v>21</v>
      </c>
      <c r="B8" t="s">
        <v>22</v>
      </c>
      <c r="C8" t="str">
        <f t="shared" si="0"/>
        <v>Heat_Exchanger_Surface</v>
      </c>
      <c r="D8" t="str">
        <f t="shared" si="1"/>
        <v>Heat_Exchanger.A</v>
      </c>
      <c r="E8" t="s">
        <v>21</v>
      </c>
      <c r="F8" t="s">
        <v>33</v>
      </c>
      <c r="G8" t="s">
        <v>39</v>
      </c>
    </row>
    <row r="9" spans="1:7" x14ac:dyDescent="0.25">
      <c r="A9" t="s">
        <v>21</v>
      </c>
      <c r="B9" t="s">
        <v>23</v>
      </c>
      <c r="C9" t="str">
        <f t="shared" si="0"/>
        <v>Heat_Exchanger_HeatTansfer</v>
      </c>
      <c r="D9" t="str">
        <f t="shared" si="1"/>
        <v>Heat_Exchanger.k_NTU</v>
      </c>
      <c r="E9" t="s">
        <v>21</v>
      </c>
      <c r="F9" t="s">
        <v>34</v>
      </c>
      <c r="G9" t="s">
        <v>39</v>
      </c>
    </row>
    <row r="10" spans="1:7" x14ac:dyDescent="0.25">
      <c r="A10" t="s">
        <v>40</v>
      </c>
      <c r="B10" t="s">
        <v>41</v>
      </c>
      <c r="C10" t="str">
        <f t="shared" si="0"/>
        <v xml:space="preserve"> Heat_Exchanger_Primary_Side_Primary_Htransfer</v>
      </c>
      <c r="D10" t="str">
        <f t="shared" si="1"/>
        <v>Heat_Exchanger.k_NTU</v>
      </c>
      <c r="E10" t="s">
        <v>21</v>
      </c>
      <c r="F10" t="s">
        <v>34</v>
      </c>
      <c r="G10" t="s">
        <v>39</v>
      </c>
    </row>
    <row r="11" spans="1:7" x14ac:dyDescent="0.25">
      <c r="A11" t="s">
        <v>40</v>
      </c>
      <c r="B11" t="s">
        <v>42</v>
      </c>
      <c r="C11" t="str">
        <f t="shared" si="0"/>
        <v xml:space="preserve"> Heat_Exchanger_Primary_Side_Primary_CA</v>
      </c>
      <c r="D11" t="str">
        <f t="shared" si="1"/>
        <v>Heat_Exchanger.A</v>
      </c>
      <c r="E11" t="s">
        <v>21</v>
      </c>
      <c r="F11" t="s">
        <v>33</v>
      </c>
      <c r="G11" t="s">
        <v>39</v>
      </c>
    </row>
    <row r="12" spans="1:7" x14ac:dyDescent="0.25">
      <c r="A12" t="s">
        <v>43</v>
      </c>
      <c r="B12" t="s">
        <v>45</v>
      </c>
      <c r="C12" t="str">
        <f t="shared" si="0"/>
        <v>Heat_Exchanger_Secondary_Side_Secondary_HeatT</v>
      </c>
      <c r="D12" t="str">
        <f t="shared" si="1"/>
        <v>Heat_Exchanger.k_NTU</v>
      </c>
      <c r="E12" t="s">
        <v>21</v>
      </c>
      <c r="F12" t="s">
        <v>34</v>
      </c>
      <c r="G12" t="s">
        <v>39</v>
      </c>
    </row>
    <row r="13" spans="1:7" x14ac:dyDescent="0.25">
      <c r="A13" t="s">
        <v>43</v>
      </c>
      <c r="B13" t="s">
        <v>44</v>
      </c>
      <c r="C13" t="str">
        <f t="shared" si="0"/>
        <v>Heat_Exchanger_Secondary_Side_Secondary_Csurface</v>
      </c>
      <c r="D13" t="str">
        <f t="shared" si="1"/>
        <v>Heat_Exchanger.A</v>
      </c>
      <c r="E13" t="s">
        <v>21</v>
      </c>
      <c r="F13" t="s">
        <v>33</v>
      </c>
      <c r="G13" t="s">
        <v>39</v>
      </c>
    </row>
    <row r="14" spans="1:7" x14ac:dyDescent="0.25">
      <c r="A14" t="s">
        <v>24</v>
      </c>
      <c r="B14" t="s">
        <v>6</v>
      </c>
      <c r="C14" t="str">
        <f t="shared" si="0"/>
        <v>Pipe_Heat_Exchanger_Choke_Valve_Diameter</v>
      </c>
      <c r="D14" t="str">
        <f t="shared" si="1"/>
        <v>Pipe_Heat_Exchanger_Choke_Valve.r</v>
      </c>
      <c r="E14" t="s">
        <v>24</v>
      </c>
      <c r="F14" t="s">
        <v>29</v>
      </c>
      <c r="G14" t="s">
        <v>9</v>
      </c>
    </row>
    <row r="15" spans="1:7" x14ac:dyDescent="0.25">
      <c r="A15" t="s">
        <v>24</v>
      </c>
      <c r="B15" t="s">
        <v>5</v>
      </c>
      <c r="C15" t="str">
        <f t="shared" si="0"/>
        <v>Pipe_Heat_Exchanger_Choke_Valve_Length</v>
      </c>
      <c r="D15" t="str">
        <f t="shared" si="1"/>
        <v>Pipe_Heat_Exchanger_Choke_Valve.l</v>
      </c>
      <c r="E15" t="s">
        <v>24</v>
      </c>
      <c r="F15" t="s">
        <v>30</v>
      </c>
      <c r="G15" t="s">
        <v>8</v>
      </c>
    </row>
    <row r="16" spans="1:7" x14ac:dyDescent="0.25">
      <c r="A16" t="s">
        <v>25</v>
      </c>
      <c r="B16" t="s">
        <v>4</v>
      </c>
      <c r="C16" t="str">
        <f t="shared" si="0"/>
        <v>Choke_Valve_PDropNom</v>
      </c>
      <c r="D16" t="str">
        <f t="shared" si="1"/>
        <v>Choke_Valve.Kvs</v>
      </c>
      <c r="E16" t="s">
        <v>25</v>
      </c>
      <c r="F16" t="s">
        <v>31</v>
      </c>
      <c r="G16" t="s">
        <v>39</v>
      </c>
    </row>
    <row r="17" spans="1:7" x14ac:dyDescent="0.25">
      <c r="A17" t="s">
        <v>14</v>
      </c>
      <c r="B17" t="s">
        <v>15</v>
      </c>
      <c r="C17" t="str">
        <f>A17&amp;B17</f>
        <v>Pipe_Choke_Valve_Output_Alpha</v>
      </c>
      <c r="D17" t="str">
        <f t="shared" si="1"/>
        <v>Heat_Loss_Choke_Valve.alpha</v>
      </c>
      <c r="E17" t="s">
        <v>35</v>
      </c>
      <c r="F17" t="s">
        <v>36</v>
      </c>
      <c r="G17" t="s">
        <v>39</v>
      </c>
    </row>
    <row r="18" spans="1:7" x14ac:dyDescent="0.25">
      <c r="A18" t="s">
        <v>14</v>
      </c>
      <c r="B18" t="s">
        <v>16</v>
      </c>
      <c r="C18" t="str">
        <f t="shared" ref="C18:C25" si="2">A18&amp;B18</f>
        <v>Pipe_Choke_Valve_Output_HLoss</v>
      </c>
      <c r="D18" t="str">
        <f t="shared" si="1"/>
        <v>corrective_factor.k</v>
      </c>
      <c r="E18" t="s">
        <v>37</v>
      </c>
      <c r="F18" t="s">
        <v>7</v>
      </c>
      <c r="G18" t="s">
        <v>39</v>
      </c>
    </row>
    <row r="19" spans="1:7" x14ac:dyDescent="0.25">
      <c r="A19" t="s">
        <v>14</v>
      </c>
      <c r="B19" t="s">
        <v>6</v>
      </c>
      <c r="C19" t="str">
        <f t="shared" si="2"/>
        <v>Pipe_Choke_Valve_Output_Diameter</v>
      </c>
      <c r="D19" t="str">
        <f t="shared" si="1"/>
        <v>Pipe_Choke_Valve_Output.r</v>
      </c>
      <c r="E19" t="s">
        <v>14</v>
      </c>
      <c r="F19" t="s">
        <v>29</v>
      </c>
      <c r="G19" t="s">
        <v>9</v>
      </c>
    </row>
    <row r="20" spans="1:7" x14ac:dyDescent="0.25">
      <c r="A20" t="s">
        <v>14</v>
      </c>
      <c r="B20" t="s">
        <v>5</v>
      </c>
      <c r="C20" t="str">
        <f t="shared" si="2"/>
        <v>Pipe_Choke_Valve_Output_Length</v>
      </c>
      <c r="D20" t="str">
        <f t="shared" si="1"/>
        <v>Pipe_Choke_Valve_Output.l</v>
      </c>
      <c r="E20" t="s">
        <v>14</v>
      </c>
      <c r="F20" t="s">
        <v>30</v>
      </c>
      <c r="G20" t="s">
        <v>8</v>
      </c>
    </row>
    <row r="21" spans="1:7" x14ac:dyDescent="0.25">
      <c r="A21" t="s">
        <v>26</v>
      </c>
      <c r="B21" t="s">
        <v>4</v>
      </c>
      <c r="C21" t="str">
        <f t="shared" si="2"/>
        <v>ThreeWayValve_PDropNom</v>
      </c>
      <c r="D21" t="str">
        <f t="shared" si="1"/>
        <v>ThreeWayValve.p_ref</v>
      </c>
      <c r="E21" t="s">
        <v>26</v>
      </c>
      <c r="F21" t="s">
        <v>38</v>
      </c>
      <c r="G21" t="s">
        <v>39</v>
      </c>
    </row>
    <row r="22" spans="1:7" x14ac:dyDescent="0.25">
      <c r="A22" t="s">
        <v>27</v>
      </c>
      <c r="B22" t="s">
        <v>6</v>
      </c>
      <c r="C22" t="str">
        <f t="shared" si="2"/>
        <v>Pipe_Water_pre_Heat_Exchanger_Diameter</v>
      </c>
      <c r="D22" t="str">
        <f t="shared" si="1"/>
        <v>Pipe_Water_pre_Heat_Exchanger.r</v>
      </c>
      <c r="E22" t="s">
        <v>27</v>
      </c>
      <c r="F22" t="s">
        <v>29</v>
      </c>
      <c r="G22" t="s">
        <v>9</v>
      </c>
    </row>
    <row r="23" spans="1:7" x14ac:dyDescent="0.25">
      <c r="A23" t="s">
        <v>27</v>
      </c>
      <c r="B23" t="s">
        <v>5</v>
      </c>
      <c r="C23" t="str">
        <f t="shared" si="2"/>
        <v>Pipe_Water_pre_Heat_Exchanger_Length</v>
      </c>
      <c r="D23" t="str">
        <f t="shared" si="1"/>
        <v>Pipe_Water_pre_Heat_Exchanger.l</v>
      </c>
      <c r="E23" t="s">
        <v>27</v>
      </c>
      <c r="F23" t="s">
        <v>30</v>
      </c>
      <c r="G23" t="s">
        <v>8</v>
      </c>
    </row>
    <row r="24" spans="1:7" x14ac:dyDescent="0.25">
      <c r="A24" t="s">
        <v>28</v>
      </c>
      <c r="B24" t="s">
        <v>6</v>
      </c>
      <c r="C24" t="str">
        <f t="shared" si="2"/>
        <v>Pipe_Water_post_Heat_Exchanger_Diameter</v>
      </c>
      <c r="D24" t="str">
        <f t="shared" si="1"/>
        <v>Pipe_Water_post_Heat_Exchanger.r</v>
      </c>
      <c r="E24" t="s">
        <v>28</v>
      </c>
      <c r="F24" t="s">
        <v>29</v>
      </c>
      <c r="G24" t="s">
        <v>9</v>
      </c>
    </row>
    <row r="25" spans="1:7" x14ac:dyDescent="0.25">
      <c r="A25" t="s">
        <v>28</v>
      </c>
      <c r="B25" t="s">
        <v>5</v>
      </c>
      <c r="C25" t="str">
        <f t="shared" si="2"/>
        <v>Pipe_Water_post_Heat_Exchanger_Length</v>
      </c>
      <c r="D25" t="str">
        <f t="shared" si="1"/>
        <v>Pipe_Water_post_Heat_Exchanger.l</v>
      </c>
      <c r="E25" t="s">
        <v>28</v>
      </c>
      <c r="F25" t="s">
        <v>30</v>
      </c>
      <c r="G25" t="s">
        <v>8</v>
      </c>
    </row>
    <row r="65" spans="1:1" x14ac:dyDescent="0.25">
      <c r="A65" s="2"/>
    </row>
    <row r="66" spans="1:1" x14ac:dyDescent="0.25">
      <c r="A66" s="1"/>
    </row>
    <row r="67" spans="1:1" x14ac:dyDescent="0.25">
      <c r="A67" s="1"/>
    </row>
    <row r="89" spans="1:1" x14ac:dyDescent="0.25">
      <c r="A89" s="2"/>
    </row>
    <row r="90" spans="1:1" x14ac:dyDescent="0.25">
      <c r="A90" s="1"/>
    </row>
    <row r="91" spans="1:1" x14ac:dyDescent="0.25">
      <c r="A91" s="1"/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Mapping_Sensor_Simulation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Mitarbeiter</dc:creator>
  <cp:lastModifiedBy>Malte Ramonat</cp:lastModifiedBy>
  <dcterms:created xsi:type="dcterms:W3CDTF">2023-07-20T12:18:33Z</dcterms:created>
  <dcterms:modified xsi:type="dcterms:W3CDTF">2025-07-09T13:26:12Z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d2079b-6d85-4185-8122-5cca51dad164_Enabled">
    <vt:lpwstr>true</vt:lpwstr>
  </property>
  <property fmtid="{D5CDD505-2E9C-101B-9397-08002B2CF9AE}" pid="3" name="MSIP_Label_8fd2079b-6d85-4185-8122-5cca51dad164_SetDate">
    <vt:lpwstr>2024-07-17T13:50:31Z</vt:lpwstr>
  </property>
  <property fmtid="{D5CDD505-2E9C-101B-9397-08002B2CF9AE}" pid="4" name="MSIP_Label_8fd2079b-6d85-4185-8122-5cca51dad164_Method">
    <vt:lpwstr>Standard</vt:lpwstr>
  </property>
  <property fmtid="{D5CDD505-2E9C-101B-9397-08002B2CF9AE}" pid="5" name="MSIP_Label_8fd2079b-6d85-4185-8122-5cca51dad164_Name">
    <vt:lpwstr>Öffentlich</vt:lpwstr>
  </property>
  <property fmtid="{D5CDD505-2E9C-101B-9397-08002B2CF9AE}" pid="6" name="MSIP_Label_8fd2079b-6d85-4185-8122-5cca51dad164_SiteId">
    <vt:lpwstr>5832f73f-b0fa-45a0-80d9-7e32bd7fa822</vt:lpwstr>
  </property>
  <property fmtid="{D5CDD505-2E9C-101B-9397-08002B2CF9AE}" pid="7" name="MSIP_Label_8fd2079b-6d85-4185-8122-5cca51dad164_ActionId">
    <vt:lpwstr>7107ff16-2b24-4df8-add1-298546f1de74</vt:lpwstr>
  </property>
  <property fmtid="{D5CDD505-2E9C-101B-9397-08002B2CF9AE}" pid="8" name="MSIP_Label_8fd2079b-6d85-4185-8122-5cca51dad164_ContentBits">
    <vt:lpwstr>0</vt:lpwstr>
  </property>
</Properties>
</file>